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UMIT PERSONAL FOLDER\CODE BASIS BOOTCAMP 2.0\EXCEL COURSE\"/>
    </mc:Choice>
  </mc:AlternateContent>
  <xr:revisionPtr revIDLastSave="0" documentId="13_ncr:1_{E6E165D8-6637-44D1-9FEB-18DB0A972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C14" i="1"/>
  <c r="D12" i="1"/>
  <c r="E12" i="1"/>
  <c r="C12" i="1"/>
  <c r="C13" i="1" s="1"/>
  <c r="D11" i="1"/>
  <c r="E11" i="1"/>
  <c r="C11" i="1"/>
  <c r="D13" i="1"/>
  <c r="D15" i="1" s="1"/>
  <c r="D16" i="1" s="1"/>
  <c r="E13" i="1"/>
  <c r="E15" i="1" s="1"/>
  <c r="E16" i="1" s="1"/>
  <c r="C15" i="1" l="1"/>
  <c r="C16" i="1" s="1"/>
</calcChain>
</file>

<file path=xl/sharedStrings.xml><?xml version="1.0" encoding="utf-8"?>
<sst xmlns="http://schemas.openxmlformats.org/spreadsheetml/2006/main" count="18" uniqueCount="16">
  <si>
    <t>parameters</t>
  </si>
  <si>
    <t>Discount</t>
  </si>
  <si>
    <t>COGS</t>
  </si>
  <si>
    <t>Average NIP</t>
  </si>
  <si>
    <t>GM Target</t>
  </si>
  <si>
    <t>Best Case</t>
  </si>
  <si>
    <t>Realistic</t>
  </si>
  <si>
    <t>Worst Case</t>
  </si>
  <si>
    <t>Sales Unit</t>
  </si>
  <si>
    <t>Net Invoice Sales</t>
  </si>
  <si>
    <t>Post Discount</t>
  </si>
  <si>
    <t>Net Sales</t>
  </si>
  <si>
    <t>Gross Margin</t>
  </si>
  <si>
    <t>vs Target</t>
  </si>
  <si>
    <t>avg sales price of mouse and keyboard</t>
  </si>
  <si>
    <t>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</si>
</sst>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64" formatCode="&quot;₹&quot;\ #,##0.00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64" formatCode="&quot;₹&quot;\ #,##0.00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64" formatCode="&quot;₹&quot;\ #,##0.00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1601BD-AFEE-4692-BB63-6AFDFC73920A}" name="Table1" displayName="Table1" ref="B9:E16" totalsRowShown="0" headerRowDxfId="8" dataDxfId="7">
  <autoFilter ref="B9:E16" xr:uid="{401601BD-AFEE-4692-BB63-6AFDFC73920A}"/>
  <tableColumns count="4">
    <tableColumn id="1" xr3:uid="{C29DBEA9-C539-4059-A30C-90F2DC497E4A}" name="metrics" dataDxfId="12"/>
    <tableColumn id="2" xr3:uid="{E15F76E4-4F27-4930-8DF2-0DB1AAAEF0D3}" name="Best Case" dataDxfId="11"/>
    <tableColumn id="3" xr3:uid="{04762D2E-AF25-468A-BF99-F186575F4DA1}" name="Realistic" dataDxfId="10"/>
    <tableColumn id="4" xr3:uid="{573CAB7E-C028-475D-952B-8CB19E812DB9}" name="Worst Case" dataDxfId="9"/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A17486-D7DC-4832-A661-A007DD4CC020}" name="Table2" displayName="Table2" ref="B5:F6" totalsRowShown="0" headerRowDxfId="0" dataDxfId="1">
  <autoFilter ref="B5:F6" xr:uid="{B6A17486-D7DC-4832-A661-A007DD4CC020}"/>
  <tableColumns count="5">
    <tableColumn id="1" xr3:uid="{888D9CB2-7A26-46AF-884F-7D3289B945E5}" name="metrics" dataDxfId="6"/>
    <tableColumn id="2" xr3:uid="{42606DDF-DF3A-46F5-834C-A40D0242B8EB}" name="Discount" dataDxfId="5"/>
    <tableColumn id="3" xr3:uid="{DC127F4E-CAD8-4ADB-88AD-77B071644E2A}" name="COGS" dataDxfId="4"/>
    <tableColumn id="4" xr3:uid="{0AFED2BE-AD59-4677-AADE-6C86D3CDEAEE}" name="Average NIP" dataDxfId="3"/>
    <tableColumn id="5" xr3:uid="{F2F33D39-271E-4AEA-8246-0B185741F3E6}" name="GM Target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16"/>
  <sheetViews>
    <sheetView tabSelected="1" topLeftCell="A4" zoomScale="162" workbookViewId="0">
      <selection activeCell="H12" sqref="H12"/>
    </sheetView>
  </sheetViews>
  <sheetFormatPr defaultRowHeight="14.4" x14ac:dyDescent="0.3"/>
  <cols>
    <col min="1" max="1" width="8.88671875" style="1"/>
    <col min="2" max="2" width="15" style="1" bestFit="1" customWidth="1"/>
    <col min="3" max="4" width="13.6640625" style="1" bestFit="1" customWidth="1"/>
    <col min="5" max="5" width="13.5546875" style="1" customWidth="1"/>
    <col min="6" max="6" width="13.6640625" style="1" bestFit="1" customWidth="1"/>
    <col min="7" max="16384" width="8.88671875" style="1"/>
  </cols>
  <sheetData>
    <row r="4" spans="2:6" x14ac:dyDescent="0.3">
      <c r="E4" s="1" t="s">
        <v>14</v>
      </c>
    </row>
    <row r="5" spans="2:6" x14ac:dyDescent="0.3">
      <c r="B5" s="1" t="s">
        <v>15</v>
      </c>
      <c r="C5" s="1" t="s">
        <v>1</v>
      </c>
      <c r="D5" s="1" t="s">
        <v>2</v>
      </c>
      <c r="E5" s="1" t="s">
        <v>3</v>
      </c>
      <c r="F5" s="1" t="s">
        <v>4</v>
      </c>
    </row>
    <row r="6" spans="2:6" x14ac:dyDescent="0.3">
      <c r="B6" s="1" t="s">
        <v>0</v>
      </c>
      <c r="C6" s="2">
        <v>0.1</v>
      </c>
      <c r="D6" s="2">
        <v>0.3</v>
      </c>
      <c r="E6" s="3">
        <v>6</v>
      </c>
      <c r="F6" s="3">
        <v>100000</v>
      </c>
    </row>
    <row r="9" spans="2:6" x14ac:dyDescent="0.3">
      <c r="B9" s="1" t="s">
        <v>15</v>
      </c>
      <c r="C9" s="4" t="s">
        <v>5</v>
      </c>
      <c r="D9" s="4" t="s">
        <v>6</v>
      </c>
      <c r="E9" s="4" t="s">
        <v>7</v>
      </c>
    </row>
    <row r="10" spans="2:6" x14ac:dyDescent="0.3">
      <c r="B10" s="1" t="s">
        <v>8</v>
      </c>
      <c r="C10" s="1">
        <v>100000</v>
      </c>
      <c r="D10" s="1">
        <v>50000</v>
      </c>
      <c r="E10" s="1">
        <v>25000</v>
      </c>
    </row>
    <row r="11" spans="2:6" x14ac:dyDescent="0.3">
      <c r="B11" s="1" t="s">
        <v>9</v>
      </c>
      <c r="C11" s="3">
        <f>C10*$E$6</f>
        <v>600000</v>
      </c>
      <c r="D11" s="3">
        <f t="shared" ref="D11:E11" si="0">D10*$E$6</f>
        <v>300000</v>
      </c>
      <c r="E11" s="3">
        <f t="shared" si="0"/>
        <v>150000</v>
      </c>
    </row>
    <row r="12" spans="2:6" x14ac:dyDescent="0.3">
      <c r="B12" s="1" t="s">
        <v>10</v>
      </c>
      <c r="C12" s="3">
        <f>C11*$C$6</f>
        <v>60000</v>
      </c>
      <c r="D12" s="3">
        <f t="shared" ref="D12:E12" si="1">D11*$C$6</f>
        <v>30000</v>
      </c>
      <c r="E12" s="3">
        <f t="shared" si="1"/>
        <v>15000</v>
      </c>
    </row>
    <row r="13" spans="2:6" x14ac:dyDescent="0.3">
      <c r="B13" s="1" t="s">
        <v>11</v>
      </c>
      <c r="C13" s="3">
        <f>C11-C12</f>
        <v>540000</v>
      </c>
      <c r="D13" s="3">
        <f t="shared" ref="D13:E13" si="2">D11-D12</f>
        <v>270000</v>
      </c>
      <c r="E13" s="3">
        <f t="shared" si="2"/>
        <v>135000</v>
      </c>
    </row>
    <row r="14" spans="2:6" x14ac:dyDescent="0.3">
      <c r="B14" s="1" t="s">
        <v>2</v>
      </c>
      <c r="C14" s="3">
        <f>C13*$D$6</f>
        <v>162000</v>
      </c>
      <c r="D14" s="3">
        <f t="shared" ref="D14:E14" si="3">D13*$D$6</f>
        <v>81000</v>
      </c>
      <c r="E14" s="3">
        <f t="shared" si="3"/>
        <v>40500</v>
      </c>
    </row>
    <row r="15" spans="2:6" x14ac:dyDescent="0.3">
      <c r="B15" s="1" t="s">
        <v>12</v>
      </c>
      <c r="C15" s="3">
        <f>C13-C14</f>
        <v>378000</v>
      </c>
      <c r="D15" s="3">
        <f t="shared" ref="D15:E15" si="4">D13-D14</f>
        <v>189000</v>
      </c>
      <c r="E15" s="3">
        <f t="shared" si="4"/>
        <v>94500</v>
      </c>
    </row>
    <row r="16" spans="2:6" x14ac:dyDescent="0.3">
      <c r="B16" s="1" t="s">
        <v>13</v>
      </c>
      <c r="C16" s="3">
        <f>C15-$F$6</f>
        <v>278000</v>
      </c>
      <c r="D16" s="3">
        <f>D15-$F$6</f>
        <v>89000</v>
      </c>
      <c r="E16" s="3">
        <f>E15-$F$6</f>
        <v>-5500</v>
      </c>
    </row>
  </sheetData>
  <conditionalFormatting sqref="E10 E13 E15:E16">
    <cfRule type="cellIs" dxfId="13" priority="1" operator="lessThan">
      <formula>0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 kumar</cp:lastModifiedBy>
  <dcterms:created xsi:type="dcterms:W3CDTF">2015-06-05T18:17:20Z</dcterms:created>
  <dcterms:modified xsi:type="dcterms:W3CDTF">2026-04-18T07:17:33Z</dcterms:modified>
</cp:coreProperties>
</file>